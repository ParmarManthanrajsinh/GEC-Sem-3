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udent\OneDrive\Desktop\Manthan\"/>
    </mc:Choice>
  </mc:AlternateContent>
  <xr:revisionPtr revIDLastSave="0" documentId="13_ncr:1_{D4707B01-DBB0-4A20-85C2-B14F6A6F7D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5" i="1" l="1"/>
  <c r="E85" i="1"/>
  <c r="D85" i="1"/>
  <c r="C85" i="1"/>
  <c r="C64" i="1"/>
  <c r="F64" i="1"/>
  <c r="D64" i="1"/>
  <c r="F84" i="1"/>
  <c r="E84" i="1"/>
  <c r="F83" i="1"/>
  <c r="E83" i="1"/>
  <c r="F82" i="1"/>
  <c r="E82" i="1"/>
  <c r="F81" i="1"/>
  <c r="E81" i="1"/>
  <c r="F80" i="1"/>
  <c r="E80" i="1"/>
  <c r="F79" i="1"/>
  <c r="E79" i="1"/>
  <c r="F63" i="1"/>
  <c r="E63" i="1"/>
  <c r="F62" i="1"/>
  <c r="E62" i="1"/>
  <c r="F61" i="1"/>
  <c r="E61" i="1"/>
  <c r="F60" i="1"/>
  <c r="E60" i="1"/>
  <c r="F59" i="1"/>
  <c r="E59" i="1"/>
  <c r="F58" i="1"/>
  <c r="E58" i="1"/>
  <c r="E64" i="1" s="1"/>
  <c r="D46" i="1"/>
  <c r="E45" i="1"/>
  <c r="E44" i="1"/>
  <c r="E43" i="1"/>
  <c r="C46" i="1"/>
  <c r="F45" i="1"/>
  <c r="F44" i="1"/>
  <c r="F43" i="1"/>
  <c r="F42" i="1"/>
  <c r="E42" i="1"/>
  <c r="F41" i="1"/>
  <c r="E41" i="1"/>
  <c r="E46" i="1" s="1"/>
  <c r="F40" i="1"/>
  <c r="E40" i="1"/>
  <c r="F39" i="1"/>
  <c r="E39" i="1"/>
  <c r="F38" i="1"/>
  <c r="E38" i="1"/>
  <c r="C12" i="1"/>
  <c r="D28" i="1"/>
  <c r="C28" i="1"/>
  <c r="F24" i="1"/>
  <c r="F25" i="1"/>
  <c r="F26" i="1"/>
  <c r="F27" i="1"/>
  <c r="F23" i="1"/>
  <c r="E24" i="1"/>
  <c r="E25" i="1"/>
  <c r="E26" i="1"/>
  <c r="E27" i="1"/>
  <c r="E23" i="1"/>
  <c r="E28" i="1" s="1"/>
  <c r="F8" i="1"/>
  <c r="F9" i="1"/>
  <c r="F10" i="1"/>
  <c r="F11" i="1"/>
  <c r="F7" i="1"/>
  <c r="E8" i="1"/>
  <c r="E9" i="1"/>
  <c r="E10" i="1"/>
  <c r="E11" i="1"/>
  <c r="E7" i="1"/>
  <c r="C13" i="1" s="1"/>
  <c r="C14" i="1" s="1"/>
  <c r="F46" i="1" l="1"/>
  <c r="C49" i="1" s="1"/>
  <c r="C50" i="1" s="1"/>
  <c r="F28" i="1"/>
  <c r="C29" i="1" s="1"/>
  <c r="C30" i="1" s="1"/>
  <c r="C70" i="1"/>
  <c r="C69" i="1"/>
  <c r="C90" i="1"/>
  <c r="C91" i="1" s="1"/>
</calcChain>
</file>

<file path=xl/sharedStrings.xml><?xml version="1.0" encoding="utf-8"?>
<sst xmlns="http://schemas.openxmlformats.org/spreadsheetml/2006/main" count="50" uniqueCount="14">
  <si>
    <t>x</t>
  </si>
  <si>
    <t>y</t>
  </si>
  <si>
    <t>x*y</t>
  </si>
  <si>
    <t>x^2</t>
  </si>
  <si>
    <t>n</t>
  </si>
  <si>
    <t>EX1</t>
  </si>
  <si>
    <t>EX2</t>
  </si>
  <si>
    <t>b</t>
  </si>
  <si>
    <t xml:space="preserve">a </t>
  </si>
  <si>
    <t>n=5</t>
  </si>
  <si>
    <t>a</t>
  </si>
  <si>
    <t>EX3</t>
  </si>
  <si>
    <t>EX4</t>
  </si>
  <si>
    <t>EX5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</si>
</sst>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9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11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4" xfId="0" applyFont="1" applyBorder="1"/>
    <xf numFmtId="0" fontId="0" fillId="0" borderId="0" xfId="0" applyFont="1" applyBorder="1"/>
    <xf numFmtId="0" fontId="0" fillId="0" borderId="5" xfId="0" applyFont="1" applyBorder="1"/>
    <xf numFmtId="0" fontId="0" fillId="0" borderId="12" xfId="0" applyFont="1" applyBorder="1"/>
    <xf numFmtId="0" fontId="0" fillId="0" borderId="1" xfId="0" applyFont="1" applyBorder="1"/>
    <xf numFmtId="0" fontId="0" fillId="0" borderId="13" xfId="0" applyFont="1" applyBorder="1"/>
    <xf numFmtId="0" fontId="0" fillId="0" borderId="10" xfId="0" applyFont="1" applyBorder="1"/>
    <xf numFmtId="0" fontId="0" fillId="0" borderId="0" xfId="0" applyFont="1" applyFill="1" applyBorder="1"/>
    <xf numFmtId="0" fontId="0" fillId="0" borderId="4" xfId="0" applyFont="1" applyFill="1" applyBorder="1"/>
    <xf numFmtId="0" fontId="0" fillId="0" borderId="10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1"/>
  <sheetViews>
    <sheetView tabSelected="1" topLeftCell="A71" zoomScale="160" zoomScaleNormal="160" workbookViewId="0">
      <selection activeCell="F89" sqref="F89"/>
    </sheetView>
  </sheetViews>
  <sheetFormatPr defaultRowHeight="15" x14ac:dyDescent="0.25"/>
  <sheetData>
    <row r="1" spans="2:7" ht="15.75" thickBot="1" x14ac:dyDescent="0.3"/>
    <row r="2" spans="2:7" ht="15.75" thickBot="1" x14ac:dyDescent="0.3">
      <c r="B2" s="16" t="s">
        <v>5</v>
      </c>
      <c r="C2" s="17"/>
      <c r="D2" s="17"/>
      <c r="E2" s="17"/>
      <c r="F2" s="17"/>
      <c r="G2" s="18"/>
    </row>
    <row r="3" spans="2:7" x14ac:dyDescent="0.25">
      <c r="B3" s="9" t="s">
        <v>0</v>
      </c>
      <c r="C3" s="1">
        <v>1</v>
      </c>
      <c r="D3" s="1">
        <v>2</v>
      </c>
      <c r="E3" s="1">
        <v>3</v>
      </c>
      <c r="F3" s="1">
        <v>4</v>
      </c>
      <c r="G3" s="2">
        <v>5</v>
      </c>
    </row>
    <row r="4" spans="2:7" ht="15.75" thickBot="1" x14ac:dyDescent="0.3">
      <c r="B4" s="11" t="s">
        <v>1</v>
      </c>
      <c r="C4" s="7">
        <v>14</v>
      </c>
      <c r="D4" s="7">
        <v>27</v>
      </c>
      <c r="E4" s="7">
        <v>40</v>
      </c>
      <c r="F4" s="7">
        <v>55</v>
      </c>
      <c r="G4" s="8">
        <v>68</v>
      </c>
    </row>
    <row r="5" spans="2:7" ht="15.75" thickBot="1" x14ac:dyDescent="0.3">
      <c r="B5" s="3"/>
      <c r="C5" s="4"/>
      <c r="D5" s="4"/>
      <c r="E5" s="4"/>
      <c r="F5" s="4"/>
      <c r="G5" s="5"/>
    </row>
    <row r="6" spans="2:7" ht="15.75" thickBot="1" x14ac:dyDescent="0.3">
      <c r="B6" s="3"/>
      <c r="C6" s="12" t="s">
        <v>0</v>
      </c>
      <c r="D6" s="12" t="s">
        <v>1</v>
      </c>
      <c r="E6" s="12" t="s">
        <v>2</v>
      </c>
      <c r="F6" s="13" t="s">
        <v>3</v>
      </c>
      <c r="G6" s="5"/>
    </row>
    <row r="7" spans="2:7" x14ac:dyDescent="0.25">
      <c r="B7" s="3"/>
      <c r="C7" s="3">
        <v>1</v>
      </c>
      <c r="D7" s="3">
        <v>14</v>
      </c>
      <c r="E7" s="3">
        <f>C7*D7</f>
        <v>14</v>
      </c>
      <c r="F7" s="10">
        <f>C7*C7</f>
        <v>1</v>
      </c>
      <c r="G7" s="5"/>
    </row>
    <row r="8" spans="2:7" x14ac:dyDescent="0.25">
      <c r="B8" s="3"/>
      <c r="C8" s="3">
        <v>2</v>
      </c>
      <c r="D8" s="3">
        <v>27</v>
      </c>
      <c r="E8" s="3">
        <f t="shared" ref="E8:E11" si="0">C8*D8</f>
        <v>54</v>
      </c>
      <c r="F8" s="10">
        <f t="shared" ref="F8:F11" si="1">C8*C8</f>
        <v>4</v>
      </c>
      <c r="G8" s="5"/>
    </row>
    <row r="9" spans="2:7" x14ac:dyDescent="0.25">
      <c r="B9" s="3"/>
      <c r="C9" s="3">
        <v>3</v>
      </c>
      <c r="D9" s="3">
        <v>40</v>
      </c>
      <c r="E9" s="3">
        <f t="shared" si="0"/>
        <v>120</v>
      </c>
      <c r="F9" s="10">
        <f t="shared" si="1"/>
        <v>9</v>
      </c>
      <c r="G9" s="5"/>
    </row>
    <row r="10" spans="2:7" x14ac:dyDescent="0.25">
      <c r="B10" s="3"/>
      <c r="C10" s="3">
        <v>4</v>
      </c>
      <c r="D10" s="3">
        <v>55</v>
      </c>
      <c r="E10" s="3">
        <f t="shared" si="0"/>
        <v>220</v>
      </c>
      <c r="F10" s="10">
        <f t="shared" si="1"/>
        <v>16</v>
      </c>
      <c r="G10" s="5"/>
    </row>
    <row r="11" spans="2:7" ht="15.75" thickBot="1" x14ac:dyDescent="0.3">
      <c r="B11" s="3"/>
      <c r="C11" s="6">
        <v>5</v>
      </c>
      <c r="D11" s="6">
        <v>68</v>
      </c>
      <c r="E11" s="6">
        <f t="shared" si="0"/>
        <v>340</v>
      </c>
      <c r="F11" s="11">
        <f t="shared" si="1"/>
        <v>25</v>
      </c>
      <c r="G11" s="5"/>
    </row>
    <row r="12" spans="2:7" x14ac:dyDescent="0.25">
      <c r="B12" s="3" t="s">
        <v>4</v>
      </c>
      <c r="C12" s="4">
        <f>COUNT(C7:C11)</f>
        <v>5</v>
      </c>
      <c r="D12" s="4"/>
      <c r="E12" s="4"/>
      <c r="F12" s="4"/>
      <c r="G12" s="5"/>
    </row>
    <row r="13" spans="2:7" x14ac:dyDescent="0.25">
      <c r="B13" s="3" t="s">
        <v>7</v>
      </c>
      <c r="C13" s="4">
        <f>(5*(SUM(E7:E11)) - SUM(C7:C11)*SUM(D7:D11))/(5*(SUM(F7:F11)) - POWER(SUM(C7:C11),2))</f>
        <v>13.6</v>
      </c>
      <c r="D13" s="4"/>
      <c r="E13" s="4"/>
      <c r="F13" s="4"/>
      <c r="G13" s="5"/>
    </row>
    <row r="14" spans="2:7" ht="15.75" thickBot="1" x14ac:dyDescent="0.3">
      <c r="B14" s="6" t="s">
        <v>8</v>
      </c>
      <c r="C14" s="7">
        <f>(SUM(D7:D11) - C13*SUM(C7:C11))/5</f>
        <v>0</v>
      </c>
      <c r="D14" s="7"/>
      <c r="E14" s="7"/>
      <c r="F14" s="7"/>
      <c r="G14" s="8"/>
    </row>
    <row r="17" spans="2:7" ht="15.75" thickBot="1" x14ac:dyDescent="0.3"/>
    <row r="18" spans="2:7" ht="15.75" thickBot="1" x14ac:dyDescent="0.3">
      <c r="B18" s="19" t="s">
        <v>6</v>
      </c>
      <c r="C18" s="20"/>
      <c r="D18" s="20"/>
      <c r="E18" s="20"/>
      <c r="F18" s="20"/>
      <c r="G18" s="21"/>
    </row>
    <row r="19" spans="2:7" x14ac:dyDescent="0.25">
      <c r="B19" s="22" t="s">
        <v>0</v>
      </c>
      <c r="C19" s="23">
        <v>0</v>
      </c>
      <c r="D19" s="23">
        <v>1</v>
      </c>
      <c r="E19" s="23">
        <v>2</v>
      </c>
      <c r="F19" s="23">
        <v>3</v>
      </c>
      <c r="G19" s="24">
        <v>4</v>
      </c>
    </row>
    <row r="20" spans="2:7" ht="15.75" thickBot="1" x14ac:dyDescent="0.3">
      <c r="B20" s="25" t="s">
        <v>1</v>
      </c>
      <c r="C20" s="26">
        <v>1</v>
      </c>
      <c r="D20" s="26">
        <v>1.5</v>
      </c>
      <c r="E20" s="26">
        <v>3.3</v>
      </c>
      <c r="F20" s="26">
        <v>4.5</v>
      </c>
      <c r="G20" s="27">
        <v>6.3</v>
      </c>
    </row>
    <row r="21" spans="2:7" ht="15.75" thickBot="1" x14ac:dyDescent="0.3">
      <c r="B21" s="28"/>
      <c r="C21" s="29"/>
      <c r="D21" s="29"/>
      <c r="E21" s="29"/>
      <c r="F21" s="29"/>
      <c r="G21" s="30"/>
    </row>
    <row r="22" spans="2:7" ht="15.75" thickBot="1" x14ac:dyDescent="0.3">
      <c r="B22" s="28"/>
      <c r="C22" s="31" t="s">
        <v>0</v>
      </c>
      <c r="D22" s="32" t="s">
        <v>1</v>
      </c>
      <c r="E22" s="32" t="s">
        <v>2</v>
      </c>
      <c r="F22" s="33" t="s">
        <v>3</v>
      </c>
      <c r="G22" s="30"/>
    </row>
    <row r="23" spans="2:7" x14ac:dyDescent="0.25">
      <c r="B23" s="28"/>
      <c r="C23" s="28">
        <v>0</v>
      </c>
      <c r="D23" s="34">
        <v>1</v>
      </c>
      <c r="E23" s="34">
        <f>C23*D23</f>
        <v>0</v>
      </c>
      <c r="F23" s="30">
        <f>C23*C23</f>
        <v>0</v>
      </c>
      <c r="G23" s="30"/>
    </row>
    <row r="24" spans="2:7" x14ac:dyDescent="0.25">
      <c r="B24" s="28"/>
      <c r="C24" s="28">
        <v>1</v>
      </c>
      <c r="D24" s="34">
        <v>1.5</v>
      </c>
      <c r="E24" s="34">
        <f t="shared" ref="E24:E27" si="2">C24*D24</f>
        <v>1.5</v>
      </c>
      <c r="F24" s="30">
        <f t="shared" ref="F24:F27" si="3">C24*C24</f>
        <v>1</v>
      </c>
      <c r="G24" s="30"/>
    </row>
    <row r="25" spans="2:7" x14ac:dyDescent="0.25">
      <c r="B25" s="28"/>
      <c r="C25" s="28">
        <v>2</v>
      </c>
      <c r="D25" s="34">
        <v>3.3</v>
      </c>
      <c r="E25" s="34">
        <f t="shared" si="2"/>
        <v>6.6</v>
      </c>
      <c r="F25" s="30">
        <f t="shared" si="3"/>
        <v>4</v>
      </c>
      <c r="G25" s="30"/>
    </row>
    <row r="26" spans="2:7" x14ac:dyDescent="0.25">
      <c r="B26" s="28"/>
      <c r="C26" s="28">
        <v>3</v>
      </c>
      <c r="D26" s="34">
        <v>4.5</v>
      </c>
      <c r="E26" s="34">
        <f t="shared" si="2"/>
        <v>13.5</v>
      </c>
      <c r="F26" s="30">
        <f t="shared" si="3"/>
        <v>9</v>
      </c>
      <c r="G26" s="30"/>
    </row>
    <row r="27" spans="2:7" ht="15.75" thickBot="1" x14ac:dyDescent="0.3">
      <c r="B27" s="28"/>
      <c r="C27" s="28">
        <v>4</v>
      </c>
      <c r="D27" s="34">
        <v>6.3</v>
      </c>
      <c r="E27" s="34">
        <f t="shared" si="2"/>
        <v>25.2</v>
      </c>
      <c r="F27" s="30">
        <f t="shared" si="3"/>
        <v>16</v>
      </c>
      <c r="G27" s="30"/>
    </row>
    <row r="28" spans="2:7" ht="15.75" thickBot="1" x14ac:dyDescent="0.3">
      <c r="B28" s="28" t="s">
        <v>9</v>
      </c>
      <c r="C28" s="31">
        <f>SUM(C23:C27)</f>
        <v>10</v>
      </c>
      <c r="D28" s="32">
        <f t="shared" ref="D28:F28" si="4">SUM(D23:D27)</f>
        <v>16.600000000000001</v>
      </c>
      <c r="E28" s="32">
        <f t="shared" si="4"/>
        <v>46.8</v>
      </c>
      <c r="F28" s="33">
        <f t="shared" si="4"/>
        <v>30</v>
      </c>
      <c r="G28" s="30"/>
    </row>
    <row r="29" spans="2:7" x14ac:dyDescent="0.25">
      <c r="B29" s="3" t="s">
        <v>7</v>
      </c>
      <c r="C29" s="4">
        <f>(5*E28 - C28*D28)/(5*F28 - (C28*C28))</f>
        <v>1.36</v>
      </c>
      <c r="D29" s="4"/>
      <c r="E29" s="4"/>
      <c r="F29" s="4"/>
      <c r="G29" s="5"/>
    </row>
    <row r="30" spans="2:7" ht="15.75" thickBot="1" x14ac:dyDescent="0.3">
      <c r="B30" s="6" t="s">
        <v>10</v>
      </c>
      <c r="C30" s="7">
        <f>(D28-C29*C28)/5</f>
        <v>0.6</v>
      </c>
      <c r="D30" s="7"/>
      <c r="E30" s="7"/>
      <c r="F30" s="7"/>
      <c r="G30" s="8"/>
    </row>
    <row r="32" spans="2:7" ht="15.75" thickBot="1" x14ac:dyDescent="0.3"/>
    <row r="33" spans="2:10" ht="15.75" thickBot="1" x14ac:dyDescent="0.3">
      <c r="B33" s="19" t="s">
        <v>11</v>
      </c>
      <c r="C33" s="20"/>
      <c r="D33" s="20"/>
      <c r="E33" s="20"/>
      <c r="F33" s="20"/>
      <c r="G33" s="20"/>
      <c r="H33" s="15"/>
      <c r="I33" s="15"/>
      <c r="J33" s="14"/>
    </row>
    <row r="34" spans="2:10" x14ac:dyDescent="0.25">
      <c r="B34" s="22" t="s">
        <v>0</v>
      </c>
      <c r="C34" s="23">
        <v>71</v>
      </c>
      <c r="D34" s="23">
        <v>68</v>
      </c>
      <c r="E34" s="23">
        <v>73</v>
      </c>
      <c r="F34" s="23">
        <v>69</v>
      </c>
      <c r="G34" s="23">
        <v>67</v>
      </c>
      <c r="H34" s="38">
        <v>65</v>
      </c>
      <c r="I34" s="38">
        <v>66</v>
      </c>
      <c r="J34" s="39">
        <v>67</v>
      </c>
    </row>
    <row r="35" spans="2:10" ht="15.75" thickBot="1" x14ac:dyDescent="0.3">
      <c r="B35" s="25" t="s">
        <v>1</v>
      </c>
      <c r="C35" s="26">
        <v>69</v>
      </c>
      <c r="D35" s="26">
        <v>72</v>
      </c>
      <c r="E35" s="26">
        <v>70</v>
      </c>
      <c r="F35" s="26">
        <v>70</v>
      </c>
      <c r="G35" s="26">
        <v>68</v>
      </c>
      <c r="H35" s="40">
        <v>67</v>
      </c>
      <c r="I35" s="40">
        <v>68</v>
      </c>
      <c r="J35" s="41">
        <v>64</v>
      </c>
    </row>
    <row r="36" spans="2:10" ht="15.75" thickBot="1" x14ac:dyDescent="0.3">
      <c r="B36" s="28"/>
      <c r="C36" s="29"/>
      <c r="D36" s="29"/>
      <c r="E36" s="29"/>
      <c r="F36" s="29"/>
      <c r="G36" s="29"/>
      <c r="H36" s="4"/>
      <c r="I36" s="4"/>
      <c r="J36" s="5"/>
    </row>
    <row r="37" spans="2:10" ht="15.75" thickBot="1" x14ac:dyDescent="0.3">
      <c r="B37" s="3"/>
      <c r="C37" s="31" t="s">
        <v>0</v>
      </c>
      <c r="D37" s="32" t="s">
        <v>1</v>
      </c>
      <c r="E37" s="32" t="s">
        <v>2</v>
      </c>
      <c r="F37" s="32" t="s">
        <v>3</v>
      </c>
      <c r="G37" s="29"/>
      <c r="H37" s="4"/>
      <c r="I37" s="4"/>
      <c r="J37" s="5"/>
    </row>
    <row r="38" spans="2:10" x14ac:dyDescent="0.25">
      <c r="B38" s="28"/>
      <c r="C38" s="28">
        <v>71</v>
      </c>
      <c r="D38" s="34">
        <v>69</v>
      </c>
      <c r="E38" s="34">
        <f>C38*D38</f>
        <v>4899</v>
      </c>
      <c r="F38" s="34">
        <f>C38*C38</f>
        <v>5041</v>
      </c>
      <c r="G38" s="29"/>
      <c r="H38" s="4"/>
      <c r="I38" s="4"/>
      <c r="J38" s="5"/>
    </row>
    <row r="39" spans="2:10" x14ac:dyDescent="0.25">
      <c r="B39" s="28"/>
      <c r="C39" s="28">
        <v>68</v>
      </c>
      <c r="D39" s="34">
        <v>72</v>
      </c>
      <c r="E39" s="34">
        <f t="shared" ref="E39:E45" si="5">C39*D39</f>
        <v>4896</v>
      </c>
      <c r="F39" s="34">
        <f t="shared" ref="F39:F45" si="6">C39*C39</f>
        <v>4624</v>
      </c>
      <c r="G39" s="29"/>
      <c r="H39" s="4"/>
      <c r="I39" s="4"/>
      <c r="J39" s="5"/>
    </row>
    <row r="40" spans="2:10" x14ac:dyDescent="0.25">
      <c r="B40" s="28"/>
      <c r="C40" s="28">
        <v>73</v>
      </c>
      <c r="D40" s="34">
        <v>70</v>
      </c>
      <c r="E40" s="34">
        <f t="shared" si="5"/>
        <v>5110</v>
      </c>
      <c r="F40" s="34">
        <f t="shared" si="6"/>
        <v>5329</v>
      </c>
      <c r="G40" s="29"/>
      <c r="H40" s="4"/>
      <c r="I40" s="4"/>
      <c r="J40" s="5"/>
    </row>
    <row r="41" spans="2:10" x14ac:dyDescent="0.25">
      <c r="B41" s="28"/>
      <c r="C41" s="28">
        <v>69</v>
      </c>
      <c r="D41" s="34">
        <v>70</v>
      </c>
      <c r="E41" s="34">
        <f t="shared" si="5"/>
        <v>4830</v>
      </c>
      <c r="F41" s="34">
        <f t="shared" si="6"/>
        <v>4761</v>
      </c>
      <c r="G41" s="29"/>
      <c r="H41" s="4"/>
      <c r="I41" s="4"/>
      <c r="J41" s="5"/>
    </row>
    <row r="42" spans="2:10" x14ac:dyDescent="0.25">
      <c r="B42" s="28"/>
      <c r="C42" s="28">
        <v>67</v>
      </c>
      <c r="D42" s="34">
        <v>68</v>
      </c>
      <c r="E42" s="34">
        <f t="shared" si="5"/>
        <v>4556</v>
      </c>
      <c r="F42" s="34">
        <f t="shared" si="6"/>
        <v>4489</v>
      </c>
      <c r="G42" s="29"/>
      <c r="H42" s="4"/>
      <c r="I42" s="4"/>
      <c r="J42" s="5"/>
    </row>
    <row r="43" spans="2:10" x14ac:dyDescent="0.25">
      <c r="B43" s="3"/>
      <c r="C43" s="36">
        <v>65</v>
      </c>
      <c r="D43" s="37">
        <v>67</v>
      </c>
      <c r="E43" s="37">
        <f t="shared" si="5"/>
        <v>4355</v>
      </c>
      <c r="F43" s="37">
        <f t="shared" si="6"/>
        <v>4225</v>
      </c>
      <c r="G43" s="29"/>
      <c r="H43" s="4"/>
      <c r="I43" s="4"/>
      <c r="J43" s="5"/>
    </row>
    <row r="44" spans="2:10" x14ac:dyDescent="0.25">
      <c r="B44" s="3"/>
      <c r="C44" s="36">
        <v>66</v>
      </c>
      <c r="D44" s="37">
        <v>68</v>
      </c>
      <c r="E44" s="37">
        <f t="shared" si="5"/>
        <v>4488</v>
      </c>
      <c r="F44" s="37">
        <f t="shared" si="6"/>
        <v>4356</v>
      </c>
      <c r="G44" s="4"/>
      <c r="H44" s="4"/>
      <c r="I44" s="4"/>
      <c r="J44" s="5"/>
    </row>
    <row r="45" spans="2:10" ht="15.75" thickBot="1" x14ac:dyDescent="0.3">
      <c r="B45" s="3"/>
      <c r="C45" s="36">
        <v>67</v>
      </c>
      <c r="D45" s="37">
        <v>64</v>
      </c>
      <c r="E45" s="37">
        <f t="shared" si="5"/>
        <v>4288</v>
      </c>
      <c r="F45" s="37">
        <f t="shared" si="6"/>
        <v>4489</v>
      </c>
      <c r="G45" s="4"/>
      <c r="H45" s="4"/>
      <c r="I45" s="4"/>
      <c r="J45" s="5"/>
    </row>
    <row r="46" spans="2:10" ht="15.75" thickBot="1" x14ac:dyDescent="0.3">
      <c r="B46" s="3"/>
      <c r="C46" s="31">
        <f>SUM(C38:C45)</f>
        <v>546</v>
      </c>
      <c r="D46" s="32">
        <f>SUM(D38:D45)</f>
        <v>548</v>
      </c>
      <c r="E46" s="32">
        <f>SUM(E38:E45)</f>
        <v>37422</v>
      </c>
      <c r="F46" s="32">
        <f>SUM(F38:F45)</f>
        <v>37314</v>
      </c>
      <c r="G46" s="4"/>
      <c r="H46" s="4"/>
      <c r="I46" s="4"/>
      <c r="J46" s="5"/>
    </row>
    <row r="47" spans="2:10" x14ac:dyDescent="0.25">
      <c r="B47" s="3"/>
      <c r="C47" s="4"/>
      <c r="D47" s="4"/>
      <c r="E47" s="4"/>
      <c r="F47" s="4"/>
      <c r="G47" s="4"/>
      <c r="H47" s="4"/>
      <c r="I47" s="4"/>
      <c r="J47" s="5"/>
    </row>
    <row r="48" spans="2:10" x14ac:dyDescent="0.25">
      <c r="B48" s="28" t="s">
        <v>4</v>
      </c>
      <c r="C48" s="42">
        <v>8</v>
      </c>
      <c r="D48" s="4"/>
      <c r="E48" s="4"/>
      <c r="F48" s="4"/>
      <c r="G48" s="4"/>
      <c r="H48" s="4"/>
      <c r="I48" s="4"/>
      <c r="J48" s="5"/>
    </row>
    <row r="49" spans="2:10" x14ac:dyDescent="0.25">
      <c r="B49" s="3" t="s">
        <v>7</v>
      </c>
      <c r="C49" s="4">
        <f>(C48*E46 - C46*D46)/(C48*F46 - (C46*C46))</f>
        <v>0.42424242424242425</v>
      </c>
      <c r="D49" s="4"/>
      <c r="E49" s="4"/>
      <c r="F49" s="4"/>
      <c r="G49" s="4"/>
      <c r="H49" s="4"/>
      <c r="I49" s="4"/>
      <c r="J49" s="5"/>
    </row>
    <row r="50" spans="2:10" ht="15.75" thickBot="1" x14ac:dyDescent="0.3">
      <c r="B50" s="6" t="s">
        <v>10</v>
      </c>
      <c r="C50" s="7">
        <f>(D46-C49*C46)/C48</f>
        <v>39.545454545454547</v>
      </c>
      <c r="D50" s="7"/>
      <c r="E50" s="7"/>
      <c r="F50" s="7"/>
      <c r="G50" s="7"/>
      <c r="H50" s="7"/>
      <c r="I50" s="7"/>
      <c r="J50" s="8"/>
    </row>
    <row r="52" spans="2:10" ht="15.75" thickBot="1" x14ac:dyDescent="0.3"/>
    <row r="53" spans="2:10" ht="15.75" thickBot="1" x14ac:dyDescent="0.3">
      <c r="B53" s="19" t="s">
        <v>12</v>
      </c>
      <c r="C53" s="20"/>
      <c r="D53" s="20"/>
      <c r="E53" s="20"/>
      <c r="F53" s="20"/>
      <c r="G53" s="20"/>
      <c r="H53" s="15"/>
      <c r="I53" s="15"/>
      <c r="J53" s="14"/>
    </row>
    <row r="54" spans="2:10" x14ac:dyDescent="0.25">
      <c r="B54" s="22" t="s">
        <v>0</v>
      </c>
      <c r="C54" s="23">
        <v>1</v>
      </c>
      <c r="D54" s="23">
        <v>2</v>
      </c>
      <c r="E54" s="23">
        <v>3</v>
      </c>
      <c r="F54" s="23">
        <v>4</v>
      </c>
      <c r="G54" s="23">
        <v>5</v>
      </c>
      <c r="H54" s="38">
        <v>6</v>
      </c>
      <c r="I54" s="38"/>
      <c r="J54" s="39"/>
    </row>
    <row r="55" spans="2:10" ht="15.75" thickBot="1" x14ac:dyDescent="0.3">
      <c r="B55" s="25" t="s">
        <v>1</v>
      </c>
      <c r="C55" s="26">
        <v>1200</v>
      </c>
      <c r="D55" s="26">
        <v>900</v>
      </c>
      <c r="E55" s="26">
        <v>600</v>
      </c>
      <c r="F55" s="26">
        <v>200</v>
      </c>
      <c r="G55" s="26">
        <v>110</v>
      </c>
      <c r="H55" s="40">
        <v>50</v>
      </c>
      <c r="I55" s="40"/>
      <c r="J55" s="41"/>
    </row>
    <row r="56" spans="2:10" ht="15.75" thickBot="1" x14ac:dyDescent="0.3">
      <c r="B56" s="28"/>
      <c r="C56" s="29"/>
      <c r="D56" s="29"/>
      <c r="E56" s="29"/>
      <c r="F56" s="29"/>
      <c r="G56" s="29"/>
      <c r="H56" s="4"/>
      <c r="I56" s="4"/>
      <c r="J56" s="5"/>
    </row>
    <row r="57" spans="2:10" ht="15.75" thickBot="1" x14ac:dyDescent="0.3">
      <c r="B57" s="3"/>
      <c r="C57" s="31" t="s">
        <v>0</v>
      </c>
      <c r="D57" s="32" t="s">
        <v>1</v>
      </c>
      <c r="E57" s="32" t="s">
        <v>2</v>
      </c>
      <c r="F57" s="32" t="s">
        <v>3</v>
      </c>
      <c r="G57" s="29"/>
      <c r="H57" s="4"/>
      <c r="I57" s="4"/>
      <c r="J57" s="5"/>
    </row>
    <row r="58" spans="2:10" x14ac:dyDescent="0.25">
      <c r="B58" s="28"/>
      <c r="C58" s="28">
        <v>1</v>
      </c>
      <c r="D58" s="34">
        <v>1200</v>
      </c>
      <c r="E58" s="34">
        <f>C58*D58</f>
        <v>1200</v>
      </c>
      <c r="F58" s="34">
        <f>C58*C58</f>
        <v>1</v>
      </c>
      <c r="G58" s="29"/>
      <c r="H58" s="4"/>
      <c r="I58" s="4"/>
      <c r="J58" s="5"/>
    </row>
    <row r="59" spans="2:10" x14ac:dyDescent="0.25">
      <c r="B59" s="28"/>
      <c r="C59" s="28">
        <v>2</v>
      </c>
      <c r="D59" s="34">
        <v>900</v>
      </c>
      <c r="E59" s="34">
        <f t="shared" ref="E59:E65" si="7">C59*D59</f>
        <v>1800</v>
      </c>
      <c r="F59" s="34">
        <f t="shared" ref="F59:F65" si="8">C59*C59</f>
        <v>4</v>
      </c>
      <c r="G59" s="29"/>
      <c r="H59" s="4"/>
      <c r="I59" s="4"/>
      <c r="J59" s="5"/>
    </row>
    <row r="60" spans="2:10" x14ac:dyDescent="0.25">
      <c r="B60" s="28"/>
      <c r="C60" s="28">
        <v>3</v>
      </c>
      <c r="D60" s="34">
        <v>600</v>
      </c>
      <c r="E60" s="34">
        <f t="shared" si="7"/>
        <v>1800</v>
      </c>
      <c r="F60" s="34">
        <f t="shared" si="8"/>
        <v>9</v>
      </c>
      <c r="G60" s="29"/>
      <c r="H60" s="4"/>
      <c r="I60" s="4"/>
      <c r="J60" s="5"/>
    </row>
    <row r="61" spans="2:10" x14ac:dyDescent="0.25">
      <c r="B61" s="28"/>
      <c r="C61" s="28">
        <v>4</v>
      </c>
      <c r="D61" s="34">
        <v>200</v>
      </c>
      <c r="E61" s="34">
        <f t="shared" si="7"/>
        <v>800</v>
      </c>
      <c r="F61" s="34">
        <f t="shared" si="8"/>
        <v>16</v>
      </c>
      <c r="G61" s="29"/>
      <c r="H61" s="4"/>
      <c r="I61" s="4"/>
      <c r="J61" s="5"/>
    </row>
    <row r="62" spans="2:10" x14ac:dyDescent="0.25">
      <c r="B62" s="28"/>
      <c r="C62" s="28">
        <v>5</v>
      </c>
      <c r="D62" s="34">
        <v>110</v>
      </c>
      <c r="E62" s="34">
        <f t="shared" si="7"/>
        <v>550</v>
      </c>
      <c r="F62" s="34">
        <f t="shared" si="8"/>
        <v>25</v>
      </c>
      <c r="G62" s="29"/>
      <c r="H62" s="4"/>
      <c r="I62" s="4"/>
      <c r="J62" s="5"/>
    </row>
    <row r="63" spans="2:10" ht="15.75" thickBot="1" x14ac:dyDescent="0.3">
      <c r="B63" s="3"/>
      <c r="C63" s="36">
        <v>6</v>
      </c>
      <c r="D63" s="37">
        <v>50</v>
      </c>
      <c r="E63" s="37">
        <f t="shared" si="7"/>
        <v>300</v>
      </c>
      <c r="F63" s="37">
        <f t="shared" si="8"/>
        <v>36</v>
      </c>
      <c r="G63" s="29"/>
      <c r="H63" s="4"/>
      <c r="I63" s="4"/>
      <c r="J63" s="5"/>
    </row>
    <row r="64" spans="2:10" ht="15.75" thickBot="1" x14ac:dyDescent="0.3">
      <c r="B64" s="3"/>
      <c r="C64" s="31">
        <f>SUM(C58:C63)</f>
        <v>21</v>
      </c>
      <c r="D64" s="32">
        <f>SUM(D58:D63)</f>
        <v>3060</v>
      </c>
      <c r="E64" s="32">
        <f>SUM(E58:E63)</f>
        <v>6450</v>
      </c>
      <c r="F64" s="32">
        <f>SUM(F58:F63)</f>
        <v>91</v>
      </c>
      <c r="G64" s="4"/>
      <c r="H64" s="4"/>
      <c r="I64" s="4"/>
      <c r="J64" s="5"/>
    </row>
    <row r="65" spans="2:10" x14ac:dyDescent="0.25">
      <c r="B65" s="3"/>
      <c r="C65" s="35"/>
      <c r="D65" s="35"/>
      <c r="E65" s="35"/>
      <c r="F65" s="35"/>
      <c r="G65" s="4"/>
      <c r="H65" s="4"/>
      <c r="I65" s="4"/>
      <c r="J65" s="5"/>
    </row>
    <row r="66" spans="2:10" x14ac:dyDescent="0.25">
      <c r="B66" s="3"/>
      <c r="G66" s="4"/>
      <c r="H66" s="4"/>
      <c r="I66" s="4"/>
      <c r="J66" s="5"/>
    </row>
    <row r="67" spans="2:10" x14ac:dyDescent="0.25">
      <c r="B67" s="3"/>
      <c r="C67" s="4"/>
      <c r="D67" s="4"/>
      <c r="E67" s="4"/>
      <c r="F67" s="4"/>
      <c r="G67" s="4"/>
      <c r="H67" s="4"/>
      <c r="I67" s="4"/>
      <c r="J67" s="5"/>
    </row>
    <row r="68" spans="2:10" x14ac:dyDescent="0.25">
      <c r="B68" s="28" t="s">
        <v>4</v>
      </c>
      <c r="C68" s="42">
        <v>6</v>
      </c>
      <c r="D68" s="4"/>
      <c r="E68" s="4"/>
      <c r="F68" s="4"/>
      <c r="G68" s="4"/>
      <c r="H68" s="4"/>
      <c r="I68" s="4"/>
      <c r="J68" s="5"/>
    </row>
    <row r="69" spans="2:10" x14ac:dyDescent="0.25">
      <c r="B69" s="3" t="s">
        <v>7</v>
      </c>
      <c r="C69" s="4">
        <f>(C68*E64 - (C64*D64))/(C68*F64 - (C64*C64))</f>
        <v>-243.42857142857142</v>
      </c>
      <c r="D69" s="4"/>
      <c r="E69" s="4"/>
      <c r="F69" s="4"/>
      <c r="G69" s="4"/>
      <c r="H69" s="4"/>
      <c r="I69" s="4"/>
      <c r="J69" s="5"/>
    </row>
    <row r="70" spans="2:10" ht="15.75" thickBot="1" x14ac:dyDescent="0.3">
      <c r="B70" s="6" t="s">
        <v>10</v>
      </c>
      <c r="C70" s="7">
        <f>(D64-C69*C64)/C68</f>
        <v>1362</v>
      </c>
      <c r="D70" s="7"/>
      <c r="E70" s="7"/>
      <c r="F70" s="7"/>
      <c r="G70" s="7"/>
      <c r="H70" s="7"/>
      <c r="I70" s="7"/>
      <c r="J70" s="8"/>
    </row>
    <row r="73" spans="2:10" ht="15.75" thickBot="1" x14ac:dyDescent="0.3"/>
    <row r="74" spans="2:10" ht="15.75" thickBot="1" x14ac:dyDescent="0.3">
      <c r="B74" s="19" t="s">
        <v>13</v>
      </c>
      <c r="C74" s="20"/>
      <c r="D74" s="20"/>
      <c r="E74" s="20"/>
      <c r="F74" s="20"/>
      <c r="G74" s="20"/>
      <c r="H74" s="15"/>
      <c r="I74" s="15"/>
      <c r="J74" s="14"/>
    </row>
    <row r="75" spans="2:10" x14ac:dyDescent="0.25">
      <c r="B75" s="22" t="s">
        <v>0</v>
      </c>
      <c r="C75" s="1">
        <v>0</v>
      </c>
      <c r="D75" s="1">
        <v>5</v>
      </c>
      <c r="E75" s="1">
        <v>10</v>
      </c>
      <c r="F75" s="1">
        <v>15</v>
      </c>
      <c r="G75" s="1">
        <v>20</v>
      </c>
      <c r="H75" s="1">
        <v>25</v>
      </c>
      <c r="I75" s="38"/>
      <c r="J75" s="39"/>
    </row>
    <row r="76" spans="2:10" ht="15.75" thickBot="1" x14ac:dyDescent="0.3">
      <c r="B76" s="25" t="s">
        <v>1</v>
      </c>
      <c r="C76" s="7">
        <v>12</v>
      </c>
      <c r="D76" s="7">
        <v>15</v>
      </c>
      <c r="E76" s="7">
        <v>17</v>
      </c>
      <c r="F76" s="7">
        <v>22</v>
      </c>
      <c r="G76" s="7">
        <v>24</v>
      </c>
      <c r="H76" s="7">
        <v>30</v>
      </c>
      <c r="I76" s="40"/>
      <c r="J76" s="41"/>
    </row>
    <row r="77" spans="2:10" ht="15.75" thickBot="1" x14ac:dyDescent="0.3">
      <c r="B77" s="28"/>
      <c r="C77" s="29"/>
      <c r="D77" s="29"/>
      <c r="E77" s="29"/>
      <c r="F77" s="29"/>
      <c r="G77" s="29"/>
      <c r="H77" s="4"/>
      <c r="I77" s="4"/>
      <c r="J77" s="5"/>
    </row>
    <row r="78" spans="2:10" ht="15.75" thickBot="1" x14ac:dyDescent="0.3">
      <c r="B78" s="3"/>
      <c r="C78" s="31" t="s">
        <v>0</v>
      </c>
      <c r="D78" s="32" t="s">
        <v>1</v>
      </c>
      <c r="E78" s="32" t="s">
        <v>2</v>
      </c>
      <c r="F78" s="32" t="s">
        <v>3</v>
      </c>
      <c r="G78" s="29"/>
      <c r="H78" s="4"/>
      <c r="I78" s="4"/>
      <c r="J78" s="5"/>
    </row>
    <row r="79" spans="2:10" x14ac:dyDescent="0.25">
      <c r="B79" s="28"/>
      <c r="C79" s="28">
        <v>0</v>
      </c>
      <c r="D79" s="34">
        <v>12</v>
      </c>
      <c r="E79" s="34">
        <f>C79*D79</f>
        <v>0</v>
      </c>
      <c r="F79" s="34">
        <f>C79*C79</f>
        <v>0</v>
      </c>
      <c r="G79" s="29"/>
      <c r="H79" s="4"/>
      <c r="I79" s="4"/>
      <c r="J79" s="5"/>
    </row>
    <row r="80" spans="2:10" x14ac:dyDescent="0.25">
      <c r="B80" s="28"/>
      <c r="C80" s="28">
        <v>5</v>
      </c>
      <c r="D80" s="34">
        <v>15</v>
      </c>
      <c r="E80" s="34">
        <f t="shared" ref="E80:E84" si="9">C80*D80</f>
        <v>75</v>
      </c>
      <c r="F80" s="34">
        <f t="shared" ref="F80:F86" si="10">C80*C80</f>
        <v>25</v>
      </c>
      <c r="G80" s="29"/>
      <c r="H80" s="4"/>
      <c r="I80" s="4"/>
      <c r="J80" s="5"/>
    </row>
    <row r="81" spans="2:10" x14ac:dyDescent="0.25">
      <c r="B81" s="28"/>
      <c r="C81" s="28">
        <v>10</v>
      </c>
      <c r="D81" s="34">
        <v>17</v>
      </c>
      <c r="E81" s="34">
        <f t="shared" si="9"/>
        <v>170</v>
      </c>
      <c r="F81" s="34">
        <f t="shared" si="10"/>
        <v>100</v>
      </c>
      <c r="G81" s="29"/>
      <c r="H81" s="4"/>
      <c r="I81" s="4"/>
      <c r="J81" s="5"/>
    </row>
    <row r="82" spans="2:10" x14ac:dyDescent="0.25">
      <c r="B82" s="28"/>
      <c r="C82" s="28">
        <v>15</v>
      </c>
      <c r="D82" s="34">
        <v>22</v>
      </c>
      <c r="E82" s="34">
        <f t="shared" si="9"/>
        <v>330</v>
      </c>
      <c r="F82" s="34">
        <f t="shared" si="10"/>
        <v>225</v>
      </c>
      <c r="G82" s="29"/>
      <c r="H82" s="4"/>
      <c r="I82" s="4"/>
      <c r="J82" s="5"/>
    </row>
    <row r="83" spans="2:10" x14ac:dyDescent="0.25">
      <c r="B83" s="28"/>
      <c r="C83" s="28">
        <v>20</v>
      </c>
      <c r="D83" s="34">
        <v>24</v>
      </c>
      <c r="E83" s="34">
        <f t="shared" si="9"/>
        <v>480</v>
      </c>
      <c r="F83" s="34">
        <f t="shared" si="10"/>
        <v>400</v>
      </c>
      <c r="G83" s="29"/>
      <c r="H83" s="4"/>
      <c r="I83" s="4"/>
      <c r="J83" s="5"/>
    </row>
    <row r="84" spans="2:10" ht="15.75" thickBot="1" x14ac:dyDescent="0.3">
      <c r="B84" s="3"/>
      <c r="C84" s="36">
        <v>25</v>
      </c>
      <c r="D84" s="37">
        <v>30</v>
      </c>
      <c r="E84" s="37">
        <f t="shared" si="9"/>
        <v>750</v>
      </c>
      <c r="F84" s="37">
        <f t="shared" si="10"/>
        <v>625</v>
      </c>
      <c r="G84" s="29"/>
      <c r="H84" s="4"/>
      <c r="I84" s="4"/>
      <c r="J84" s="5"/>
    </row>
    <row r="85" spans="2:10" ht="15.75" thickBot="1" x14ac:dyDescent="0.3">
      <c r="B85" s="3"/>
      <c r="C85" s="31">
        <f>SUM(C79:C84)</f>
        <v>75</v>
      </c>
      <c r="D85" s="32">
        <f>SUM(D79:D84)</f>
        <v>120</v>
      </c>
      <c r="E85" s="32">
        <f>SUM(E79:E84)</f>
        <v>1805</v>
      </c>
      <c r="F85" s="32">
        <f>SUM(F79:F84)</f>
        <v>1375</v>
      </c>
      <c r="G85" s="4"/>
      <c r="H85" s="4"/>
      <c r="I85" s="4"/>
      <c r="J85" s="5"/>
    </row>
    <row r="86" spans="2:10" x14ac:dyDescent="0.25">
      <c r="B86" s="3"/>
      <c r="C86" s="35"/>
      <c r="D86" s="35"/>
      <c r="E86" s="35"/>
      <c r="F86" s="35"/>
      <c r="G86" s="4"/>
      <c r="H86" s="4"/>
      <c r="I86" s="4"/>
      <c r="J86" s="5"/>
    </row>
    <row r="87" spans="2:10" x14ac:dyDescent="0.25">
      <c r="B87" s="3"/>
      <c r="G87" s="4"/>
      <c r="H87" s="4"/>
      <c r="I87" s="4"/>
      <c r="J87" s="5"/>
    </row>
    <row r="88" spans="2:10" x14ac:dyDescent="0.25">
      <c r="B88" s="3"/>
      <c r="C88" s="4"/>
      <c r="D88" s="4"/>
      <c r="E88" s="4"/>
      <c r="F88" s="4"/>
      <c r="G88" s="4"/>
      <c r="H88" s="4"/>
      <c r="I88" s="4"/>
      <c r="J88" s="5"/>
    </row>
    <row r="89" spans="2:10" x14ac:dyDescent="0.25">
      <c r="B89" s="28" t="s">
        <v>4</v>
      </c>
      <c r="C89" s="42">
        <v>6</v>
      </c>
      <c r="D89" s="4"/>
      <c r="E89" s="4"/>
      <c r="F89" s="4"/>
      <c r="G89" s="4"/>
      <c r="H89" s="4"/>
      <c r="I89" s="4"/>
      <c r="J89" s="5"/>
    </row>
    <row r="90" spans="2:10" x14ac:dyDescent="0.25">
      <c r="B90" s="3" t="s">
        <v>7</v>
      </c>
      <c r="C90" s="4">
        <f>(C89*E85 - C85*D85)/(C89*F85 - (C85*C85))</f>
        <v>0.69714285714285718</v>
      </c>
      <c r="D90" s="4"/>
      <c r="E90" s="4"/>
      <c r="F90" s="4"/>
      <c r="G90" s="4"/>
      <c r="H90" s="4"/>
      <c r="I90" s="4"/>
      <c r="J90" s="5"/>
    </row>
    <row r="91" spans="2:10" ht="15.75" thickBot="1" x14ac:dyDescent="0.3">
      <c r="B91" s="6" t="s">
        <v>10</v>
      </c>
      <c r="C91" s="7">
        <f>(D85-C90*C85)/C89</f>
        <v>11.285714285714286</v>
      </c>
      <c r="D91" s="7"/>
      <c r="E91" s="7"/>
      <c r="F91" s="7"/>
      <c r="G91" s="7"/>
      <c r="H91" s="7"/>
      <c r="I91" s="7"/>
      <c r="J9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vgecstudent20@gmail.com</cp:lastModifiedBy>
  <dcterms:created xsi:type="dcterms:W3CDTF">2015-06-05T18:17:20Z</dcterms:created>
  <dcterms:modified xsi:type="dcterms:W3CDTF">2026-08-04T09:21:23Z</dcterms:modified>
</cp:coreProperties>
</file>